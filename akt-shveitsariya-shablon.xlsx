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кт выполненных рабо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"/>
  </numFmts>
  <fonts count="6">
    <font>
      <name val="Calibri"/>
      <family val="2"/>
      <color theme="1"/>
      <sz val="11"/>
      <scheme val="minor"/>
    </font>
    <font>
      <sz val="8"/>
    </font>
    <font>
      <b val="1"/>
      <sz val="9"/>
    </font>
    <font>
      <sz val="9"/>
    </font>
    <font>
      <b val="1"/>
      <sz val="11"/>
    </font>
    <font>
      <sz val="7"/>
    </font>
  </fonts>
  <fills count="3">
    <fill>
      <patternFill/>
    </fill>
    <fill>
      <patternFill patternType="gray125"/>
    </fill>
    <fill>
      <patternFill patternType="solid">
        <fgColor rgb="00FFFDE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right" wrapText="1"/>
    </xf>
    <xf numFmtId="0" fontId="2" fillId="0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164" fontId="3" fillId="2" borderId="1" applyAlignment="1" pivotButton="0" quotePrefix="0" xfId="0">
      <alignment horizontal="right" vertical="center" wrapText="1"/>
    </xf>
    <xf numFmtId="3" fontId="3" fillId="0" borderId="1" applyAlignment="1" pivotButton="0" quotePrefix="0" xfId="0">
      <alignment horizontal="right" vertical="center" wrapText="1"/>
    </xf>
    <xf numFmtId="3" fontId="2" fillId="0" borderId="1" applyAlignment="1" pivotButton="0" quotePrefix="0" xfId="0">
      <alignment horizontal="right" vertical="center" wrapText="1"/>
    </xf>
    <xf numFmtId="0" fontId="1" fillId="0" borderId="1" applyAlignment="1" pivotButton="0" quotePrefix="0" xfId="0">
      <alignment horizontal="left" vertical="top" wrapText="1"/>
    </xf>
    <xf numFmtId="0" fontId="3" fillId="2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14" customWidth="1" min="3" max="3"/>
    <col width="12" customWidth="1" min="4" max="4"/>
    <col width="8" customWidth="1" min="5" max="5"/>
    <col width="8" customWidth="1" min="6" max="6"/>
    <col width="10" customWidth="1" min="7" max="7"/>
    <col width="11" customWidth="1" min="8" max="8"/>
    <col width="12" customWidth="1" min="9" max="9"/>
    <col width="10" customWidth="1" min="10" max="10"/>
    <col width="10" customWidth="1" min="11" max="11"/>
  </cols>
  <sheetData>
    <row r="1">
      <c r="I1" s="1" t="inlineStr">
        <is>
          <t>Приложение к приказу Министра финансов</t>
        </is>
      </c>
    </row>
    <row r="2">
      <c r="I2" s="1" t="inlineStr">
        <is>
          <t>Республики Казахстан</t>
        </is>
      </c>
    </row>
    <row r="3">
      <c r="I3" s="1" t="inlineStr">
        <is>
          <t>от 27 октября 2014 года № 458</t>
        </is>
      </c>
    </row>
    <row r="4">
      <c r="I4" s="1" t="inlineStr"/>
    </row>
    <row r="5">
      <c r="I5" s="1" t="inlineStr">
        <is>
          <t>Приложение 50</t>
        </is>
      </c>
    </row>
    <row r="6">
      <c r="I6" s="1" t="inlineStr">
        <is>
          <t>к приказу Министра финансов</t>
        </is>
      </c>
    </row>
    <row r="7">
      <c r="I7" s="1" t="inlineStr">
        <is>
          <t>Республики Казахстан</t>
        </is>
      </c>
    </row>
    <row r="8">
      <c r="I8" s="1" t="inlineStr">
        <is>
          <t>от 20 декабря 2012 года № 562</t>
        </is>
      </c>
    </row>
    <row r="9">
      <c r="I9" s="1" t="inlineStr"/>
    </row>
    <row r="10">
      <c r="I10" s="1" t="inlineStr">
        <is>
          <t>Форма Р-1</t>
        </is>
      </c>
    </row>
    <row r="11">
      <c r="A11" s="2" t="inlineStr">
        <is>
          <t>Заказчик</t>
        </is>
      </c>
      <c r="B11" s="3" t="inlineStr"/>
      <c r="I11" s="4" t="inlineStr">
        <is>
          <t>ИИН/БИН</t>
        </is>
      </c>
      <c r="K11" s="5" t="inlineStr"/>
    </row>
    <row r="12">
      <c r="A12" s="2" t="inlineStr">
        <is>
          <t>Исполнитель</t>
        </is>
      </c>
      <c r="B12" s="6" t="inlineStr">
        <is>
          <t>ИП Торгово-развлекательный комплекс "Швейцария" Бектурова Ж.К., г.Текели, ул. Ы.Алтынсарина 20 р/с KZ616010311000181781 в АО "Народный Банк Казахстана", БИК HSBKKZKX</t>
        </is>
      </c>
      <c r="I12" s="4" t="inlineStr">
        <is>
          <t>ИИН/БИН</t>
        </is>
      </c>
      <c r="K12" s="4" t="inlineStr">
        <is>
          <t>571031400540</t>
        </is>
      </c>
    </row>
    <row r="13">
      <c r="A13" s="2" t="inlineStr">
        <is>
          <t>Договор (контракт)</t>
        </is>
      </c>
      <c r="B13" s="3" t="inlineStr"/>
      <c r="I13" s="4" t="inlineStr">
        <is>
          <t>Номер документа</t>
        </is>
      </c>
      <c r="K13" s="5" t="inlineStr"/>
    </row>
    <row r="14">
      <c r="I14" s="4" t="inlineStr">
        <is>
          <t>Дата составления</t>
        </is>
      </c>
      <c r="K14" s="5" t="inlineStr"/>
    </row>
    <row r="15">
      <c r="A15" s="7" t="inlineStr">
        <is>
          <t>АКТ ВЫПОЛНЕННЫХ РАБОТ (ОКАЗАННЫХ УСЛУГ)</t>
        </is>
      </c>
    </row>
    <row r="16">
      <c r="A16" s="4" t="inlineStr">
        <is>
          <t>Номер по порядку</t>
        </is>
      </c>
      <c r="B16" s="4" t="inlineStr">
        <is>
          <t>Наименование работ (услуг) (в разрезе их подвидов в соответствии с технической спецификацией, заданием, графиком выполнения работ (услуг) при их наличии)</t>
        </is>
      </c>
      <c r="C16" s="4" t="inlineStr">
        <is>
          <t>Дата выполнения работ (оказания услуг)</t>
        </is>
      </c>
      <c r="D16" s="4" t="inlineStr">
        <is>
          <t>Сведения об отчете о научных исследованиях, маркетинговых, консультационных и прочих услугах (дата, номер, количество страниц) (при их наличии)</t>
        </is>
      </c>
      <c r="E16" s="4" t="inlineStr">
        <is>
          <t>Единица измерения</t>
        </is>
      </c>
      <c r="F16" s="4" t="inlineStr">
        <is>
          <t>Выполнено работ (оказано услуг)</t>
        </is>
      </c>
    </row>
    <row r="17">
      <c r="F17" s="4" t="inlineStr">
        <is>
          <t>количество</t>
        </is>
      </c>
      <c r="G17" s="4" t="inlineStr">
        <is>
          <t>цена за единицу</t>
        </is>
      </c>
      <c r="H17" s="4" t="inlineStr">
        <is>
          <t>стоимость</t>
        </is>
      </c>
    </row>
    <row r="18">
      <c r="A18" s="4" t="inlineStr">
        <is>
          <t>1</t>
        </is>
      </c>
      <c r="B18" s="4" t="inlineStr">
        <is>
          <t>2</t>
        </is>
      </c>
      <c r="C18" s="4" t="inlineStr">
        <is>
          <t>3</t>
        </is>
      </c>
      <c r="D18" s="4" t="inlineStr">
        <is>
          <t>4</t>
        </is>
      </c>
      <c r="E18" s="4" t="inlineStr">
        <is>
          <t>5</t>
        </is>
      </c>
      <c r="F18" s="4" t="inlineStr">
        <is>
          <t>6</t>
        </is>
      </c>
      <c r="G18" s="4" t="inlineStr">
        <is>
          <t>7</t>
        </is>
      </c>
      <c r="H18" s="4" t="inlineStr">
        <is>
          <t>8</t>
        </is>
      </c>
    </row>
    <row r="19">
      <c r="A19" s="8" t="n">
        <v>1</v>
      </c>
      <c r="B19" s="3" t="inlineStr"/>
      <c r="C19" s="3" t="inlineStr"/>
      <c r="D19" s="3" t="inlineStr"/>
      <c r="E19" s="9" t="inlineStr"/>
      <c r="F19" s="10" t="inlineStr"/>
      <c r="G19" s="10" t="inlineStr"/>
      <c r="H19" s="11">
        <f>IF(AND(F19&lt;&gt;"",G19&lt;&gt;""),ROUND(F19*G19,0),"")</f>
        <v/>
      </c>
    </row>
    <row r="20">
      <c r="A20" s="8" t="n">
        <v>2</v>
      </c>
      <c r="B20" s="3" t="inlineStr"/>
      <c r="C20" s="3" t="inlineStr"/>
      <c r="D20" s="3" t="inlineStr"/>
      <c r="E20" s="9" t="inlineStr"/>
      <c r="F20" s="10" t="inlineStr"/>
      <c r="G20" s="10" t="inlineStr"/>
      <c r="H20" s="11">
        <f>IF(AND(F20&lt;&gt;"",G20&lt;&gt;""),ROUND(F20*G20,0),"")</f>
        <v/>
      </c>
    </row>
    <row r="21">
      <c r="A21" s="8" t="n">
        <v>3</v>
      </c>
      <c r="B21" s="3" t="inlineStr"/>
      <c r="C21" s="3" t="inlineStr"/>
      <c r="D21" s="3" t="inlineStr"/>
      <c r="E21" s="9" t="inlineStr"/>
      <c r="F21" s="10" t="inlineStr"/>
      <c r="G21" s="10" t="inlineStr"/>
      <c r="H21" s="11">
        <f>IF(AND(F21&lt;&gt;"",G21&lt;&gt;""),ROUND(F21*G21,0),"")</f>
        <v/>
      </c>
    </row>
    <row r="22">
      <c r="A22" s="8" t="n">
        <v>4</v>
      </c>
      <c r="B22" s="3" t="inlineStr"/>
      <c r="C22" s="3" t="inlineStr"/>
      <c r="D22" s="3" t="inlineStr"/>
      <c r="E22" s="9" t="inlineStr"/>
      <c r="F22" s="10" t="inlineStr"/>
      <c r="G22" s="10" t="inlineStr"/>
      <c r="H22" s="11">
        <f>IF(AND(F22&lt;&gt;"",G22&lt;&gt;""),ROUND(F22*G22,0),"")</f>
        <v/>
      </c>
    </row>
    <row r="23">
      <c r="A23" s="8" t="n">
        <v>5</v>
      </c>
      <c r="B23" s="3" t="inlineStr"/>
      <c r="C23" s="3" t="inlineStr"/>
      <c r="D23" s="3" t="inlineStr"/>
      <c r="E23" s="9" t="inlineStr"/>
      <c r="F23" s="10" t="inlineStr"/>
      <c r="G23" s="10" t="inlineStr"/>
      <c r="H23" s="11">
        <f>IF(AND(F23&lt;&gt;"",G23&lt;&gt;""),ROUND(F23*G23,0),"")</f>
        <v/>
      </c>
    </row>
    <row r="24">
      <c r="A24" s="8" t="n">
        <v>6</v>
      </c>
      <c r="B24" s="3" t="inlineStr"/>
      <c r="C24" s="3" t="inlineStr"/>
      <c r="D24" s="3" t="inlineStr"/>
      <c r="E24" s="9" t="inlineStr"/>
      <c r="F24" s="10" t="inlineStr"/>
      <c r="G24" s="10" t="inlineStr"/>
      <c r="H24" s="11">
        <f>IF(AND(F24&lt;&gt;"",G24&lt;&gt;""),ROUND(F24*G24,0),"")</f>
        <v/>
      </c>
    </row>
    <row r="25">
      <c r="A25" s="8" t="n">
        <v>7</v>
      </c>
      <c r="B25" s="3" t="inlineStr"/>
      <c r="C25" s="3" t="inlineStr"/>
      <c r="D25" s="3" t="inlineStr"/>
      <c r="E25" s="9" t="inlineStr"/>
      <c r="F25" s="10" t="inlineStr"/>
      <c r="G25" s="10" t="inlineStr"/>
      <c r="H25" s="11">
        <f>IF(AND(F25&lt;&gt;"",G25&lt;&gt;""),ROUND(F25*G25,0),"")</f>
        <v/>
      </c>
    </row>
    <row r="26">
      <c r="A26" s="8" t="n">
        <v>8</v>
      </c>
      <c r="B26" s="3" t="inlineStr"/>
      <c r="C26" s="3" t="inlineStr"/>
      <c r="D26" s="3" t="inlineStr"/>
      <c r="E26" s="9" t="inlineStr"/>
      <c r="F26" s="10" t="inlineStr"/>
      <c r="G26" s="10" t="inlineStr"/>
      <c r="H26" s="11">
        <f>IF(AND(F26&lt;&gt;"",G26&lt;&gt;""),ROUND(F26*G26,0),"")</f>
        <v/>
      </c>
    </row>
    <row r="27">
      <c r="A27" s="8" t="n">
        <v>9</v>
      </c>
      <c r="B27" s="3" t="inlineStr"/>
      <c r="C27" s="3" t="inlineStr"/>
      <c r="D27" s="3" t="inlineStr"/>
      <c r="E27" s="9" t="inlineStr"/>
      <c r="F27" s="10" t="inlineStr"/>
      <c r="G27" s="10" t="inlineStr"/>
      <c r="H27" s="11">
        <f>IF(AND(F27&lt;&gt;"",G27&lt;&gt;""),ROUND(F27*G27,0),"")</f>
        <v/>
      </c>
    </row>
    <row r="28">
      <c r="A28" s="8" t="n">
        <v>10</v>
      </c>
      <c r="B28" s="3" t="inlineStr"/>
      <c r="C28" s="3" t="inlineStr"/>
      <c r="D28" s="3" t="inlineStr"/>
      <c r="E28" s="9" t="inlineStr"/>
      <c r="F28" s="10" t="inlineStr"/>
      <c r="G28" s="10" t="inlineStr"/>
      <c r="H28" s="11">
        <f>IF(AND(F28&lt;&gt;"",G28&lt;&gt;""),ROUND(F28*G28,0),"")</f>
        <v/>
      </c>
    </row>
    <row r="29">
      <c r="A29" s="8" t="n">
        <v>11</v>
      </c>
      <c r="B29" s="3" t="inlineStr"/>
      <c r="C29" s="3" t="inlineStr"/>
      <c r="D29" s="3" t="inlineStr"/>
      <c r="E29" s="9" t="inlineStr"/>
      <c r="F29" s="10" t="inlineStr"/>
      <c r="G29" s="10" t="inlineStr"/>
      <c r="H29" s="11">
        <f>IF(AND(F29&lt;&gt;"",G29&lt;&gt;""),ROUND(F29*G29,0),"")</f>
        <v/>
      </c>
    </row>
    <row r="30">
      <c r="A30" s="8" t="n">
        <v>12</v>
      </c>
      <c r="B30" s="3" t="inlineStr"/>
      <c r="C30" s="3" t="inlineStr"/>
      <c r="D30" s="3" t="inlineStr"/>
      <c r="E30" s="9" t="inlineStr"/>
      <c r="F30" s="10" t="inlineStr"/>
      <c r="G30" s="10" t="inlineStr"/>
      <c r="H30" s="11">
        <f>IF(AND(F30&lt;&gt;"",G30&lt;&gt;""),ROUND(F30*G30,0),"")</f>
        <v/>
      </c>
    </row>
    <row r="31">
      <c r="A31" s="2" t="inlineStr">
        <is>
          <t>Итого</t>
        </is>
      </c>
      <c r="B31" s="6" t="inlineStr"/>
      <c r="C31" s="6" t="inlineStr"/>
      <c r="D31" s="6" t="inlineStr"/>
      <c r="E31" s="6" t="inlineStr"/>
      <c r="F31" s="6" t="inlineStr"/>
      <c r="G31" s="8" t="inlineStr">
        <is>
          <t>х</t>
        </is>
      </c>
      <c r="H31" s="12">
        <f>SUM(H19:H30)</f>
        <v/>
      </c>
    </row>
    <row r="33">
      <c r="A33" s="13" t="inlineStr">
        <is>
          <t>Сведения об использовании запасов, полученных от заказчика: наименование, количество, стоимость</t>
        </is>
      </c>
    </row>
    <row r="34">
      <c r="A34" s="13" t="inlineStr"/>
    </row>
    <row r="36">
      <c r="A36" s="13" t="inlineStr">
        <is>
          <t>Приложение: Перечень документации, в том числе отчет(ы) о маркетинговых, научных исследованиях, консультационных и прочих услугах (обязательны при его (их) наличии) на _____________ страниц</t>
        </is>
      </c>
    </row>
    <row r="38">
      <c r="A38" s="14" t="inlineStr">
        <is>
          <t>Стоимость работ (услуг) по настоящему акту составляет: ________________________________</t>
        </is>
      </c>
    </row>
    <row r="40">
      <c r="A40" s="2" t="inlineStr">
        <is>
          <t>Сдал (Исполнитель)</t>
        </is>
      </c>
      <c r="E40" s="2" t="inlineStr">
        <is>
          <t>Принял (Заказчик)</t>
        </is>
      </c>
    </row>
    <row r="41">
      <c r="A41" s="4" t="inlineStr">
        <is>
          <t>должность</t>
        </is>
      </c>
      <c r="C41" s="4" t="inlineStr">
        <is>
          <t>подпись</t>
        </is>
      </c>
      <c r="D41" s="4" t="inlineStr">
        <is>
          <t>расшифровка подписи</t>
        </is>
      </c>
      <c r="E41" s="4" t="inlineStr">
        <is>
          <t>должность</t>
        </is>
      </c>
      <c r="G41" s="4" t="inlineStr">
        <is>
          <t>подпись</t>
        </is>
      </c>
      <c r="H41" s="4" t="inlineStr">
        <is>
          <t>расшифровка подписи</t>
        </is>
      </c>
    </row>
    <row r="42">
      <c r="A42" s="3" t="inlineStr"/>
      <c r="C42" s="9" t="inlineStr">
        <is>
          <t>/</t>
        </is>
      </c>
      <c r="D42" s="9" t="inlineStr">
        <is>
          <t>Бектурова Ж.К.</t>
        </is>
      </c>
      <c r="E42" s="3" t="inlineStr"/>
      <c r="G42" s="9" t="inlineStr">
        <is>
          <t>/</t>
        </is>
      </c>
      <c r="H42" s="3" t="inlineStr"/>
    </row>
    <row r="43">
      <c r="A43" s="15" t="inlineStr">
        <is>
          <t>М.П.</t>
        </is>
      </c>
      <c r="E43" s="15" t="inlineStr">
        <is>
          <t>М.П.</t>
        </is>
      </c>
    </row>
    <row r="44">
      <c r="A44" s="15" t="inlineStr">
        <is>
          <t xml:space="preserve">Дата подписания (принятия) работ (услуг): </t>
        </is>
      </c>
    </row>
    <row r="45">
      <c r="A45" s="16" t="inlineStr">
        <is>
          <t>1. Настоящая форма применяется при оказании услуг, выполнении работ, за исключением строительно-монтажных работ.</t>
        </is>
      </c>
    </row>
    <row r="46">
      <c r="A46" s="16" t="inlineStr">
        <is>
          <t>2. В графе 3 указывается дата выполнения работ (оказания услуг).</t>
        </is>
      </c>
    </row>
    <row r="47">
      <c r="A47" s="16" t="inlineStr">
        <is>
          <t>3. В графе 4 указываются сведения об отчете о научных исследованиях, маркетинговых, консультационных и прочих услугах.</t>
        </is>
      </c>
    </row>
  </sheetData>
  <mergeCells count="42">
    <mergeCell ref="A15:H15"/>
    <mergeCell ref="I11:J11"/>
    <mergeCell ref="E42:F42"/>
    <mergeCell ref="A36:H36"/>
    <mergeCell ref="A16:A17"/>
    <mergeCell ref="D42"/>
    <mergeCell ref="A45:H45"/>
    <mergeCell ref="I3:K3"/>
    <mergeCell ref="C16:C17"/>
    <mergeCell ref="H42"/>
    <mergeCell ref="A40:D40"/>
    <mergeCell ref="A41:B41"/>
    <mergeCell ref="I5:K5"/>
    <mergeCell ref="I1:K1"/>
    <mergeCell ref="I8:K8"/>
    <mergeCell ref="D16:D17"/>
    <mergeCell ref="I4:K4"/>
    <mergeCell ref="A46:H46"/>
    <mergeCell ref="H41"/>
    <mergeCell ref="I12:J12"/>
    <mergeCell ref="I10:K10"/>
    <mergeCell ref="I9:K9"/>
    <mergeCell ref="B12:H12"/>
    <mergeCell ref="A42:B42"/>
    <mergeCell ref="A33:H33"/>
    <mergeCell ref="A47:H47"/>
    <mergeCell ref="I14:J14"/>
    <mergeCell ref="B11:H11"/>
    <mergeCell ref="E16:E17"/>
    <mergeCell ref="D41"/>
    <mergeCell ref="I6:K6"/>
    <mergeCell ref="F16:H16"/>
    <mergeCell ref="E40:H40"/>
    <mergeCell ref="I2:K2"/>
    <mergeCell ref="B13:H13"/>
    <mergeCell ref="A38:H38"/>
    <mergeCell ref="E41:F41"/>
    <mergeCell ref="B16:B17"/>
    <mergeCell ref="I13:J13"/>
    <mergeCell ref="A44:H44"/>
    <mergeCell ref="I7:K7"/>
    <mergeCell ref="A34:H34"/>
  </mergeCells>
  <printOptions horizontalCentered="1"/>
  <pageMargins left="0.75" right="0.75" top="1" bottom="1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2026-07-12T18:34:26Z</dcterms:created>
  <dcterms:modified xsi:type="dcterms:W3CDTF">2026-07-12T18:34:26Z</dcterms:modified>
</cp:coreProperties>
</file>